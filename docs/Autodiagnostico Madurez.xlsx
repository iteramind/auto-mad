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7285fef35aa343e/Escritorio/"/>
    </mc:Choice>
  </mc:AlternateContent>
  <xr:revisionPtr revIDLastSave="51" documentId="8_{E845AC8E-C61F-4E45-A14E-43981D6AB687}" xr6:coauthVersionLast="47" xr6:coauthVersionMax="47" xr10:uidLastSave="{4B203963-56D1-4EB5-BBB3-6B190D3CAF3C}"/>
  <bookViews>
    <workbookView xWindow="-108" yWindow="-108" windowWidth="23256" windowHeight="12456" xr2:uid="{00000000-000D-0000-FFFF-FFFF00000000}"/>
  </bookViews>
  <sheets>
    <sheet name="01_Cuestionario" sheetId="2" r:id="rId1"/>
    <sheet name="02_Resultados" sheetId="3" r:id="rId2"/>
    <sheet name="03_Escalas" sheetId="4" r:id="rId3"/>
    <sheet name="05_Dimensiones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3" l="1"/>
  <c r="D21" i="3"/>
  <c r="D20" i="3"/>
  <c r="D19" i="3"/>
  <c r="D18" i="3"/>
  <c r="D17" i="3"/>
  <c r="D16" i="3"/>
  <c r="D15" i="3"/>
  <c r="D14" i="3"/>
  <c r="B8" i="3"/>
  <c r="K25" i="2"/>
  <c r="I25" i="2"/>
  <c r="K24" i="2"/>
  <c r="I24" i="2"/>
  <c r="K23" i="2"/>
  <c r="I23" i="2"/>
  <c r="B21" i="3" s="1"/>
  <c r="C21" i="3" s="1"/>
  <c r="K22" i="2"/>
  <c r="I22" i="2"/>
  <c r="K21" i="2"/>
  <c r="I21" i="2"/>
  <c r="K20" i="2"/>
  <c r="I20" i="2"/>
  <c r="K19" i="2"/>
  <c r="I19" i="2"/>
  <c r="K18" i="2"/>
  <c r="I18" i="2"/>
  <c r="K17" i="2"/>
  <c r="I17" i="2"/>
  <c r="K16" i="2"/>
  <c r="I16" i="2"/>
  <c r="K15" i="2"/>
  <c r="I15" i="2"/>
  <c r="K14" i="2"/>
  <c r="I14" i="2"/>
  <c r="K13" i="2"/>
  <c r="I13" i="2"/>
  <c r="K12" i="2"/>
  <c r="I12" i="2"/>
  <c r="K11" i="2"/>
  <c r="I11" i="2"/>
  <c r="B17" i="3" s="1"/>
  <c r="C17" i="3" s="1"/>
  <c r="K10" i="2"/>
  <c r="I10" i="2"/>
  <c r="K9" i="2"/>
  <c r="I9" i="2"/>
  <c r="K8" i="2"/>
  <c r="I8" i="2"/>
  <c r="K7" i="2"/>
  <c r="I7" i="2"/>
  <c r="K6" i="2"/>
  <c r="I6" i="2"/>
  <c r="K5" i="2"/>
  <c r="I5" i="2"/>
  <c r="K4" i="2"/>
  <c r="I4" i="2"/>
  <c r="K3" i="2"/>
  <c r="I3" i="2"/>
  <c r="K2" i="2"/>
  <c r="I2" i="2"/>
  <c r="B14" i="3" s="1"/>
  <c r="C14" i="3" s="1"/>
  <c r="B16" i="3" l="1"/>
  <c r="C16" i="3" s="1"/>
  <c r="B19" i="3"/>
  <c r="C19" i="3" s="1"/>
  <c r="J25" i="2"/>
  <c r="L25" i="2"/>
  <c r="B18" i="3"/>
  <c r="C18" i="3" s="1"/>
  <c r="L22" i="2"/>
  <c r="J22" i="2"/>
  <c r="J20" i="2"/>
  <c r="B20" i="3"/>
  <c r="C20" i="3" s="1"/>
  <c r="L20" i="2"/>
  <c r="J15" i="2"/>
  <c r="L15" i="2"/>
  <c r="L12" i="2"/>
  <c r="J12" i="2"/>
  <c r="J10" i="2"/>
  <c r="L10" i="2"/>
  <c r="J5" i="2"/>
  <c r="B15" i="3"/>
  <c r="C15" i="3" s="1"/>
  <c r="L5" i="2"/>
  <c r="L24" i="2"/>
  <c r="J24" i="2"/>
  <c r="J23" i="2"/>
  <c r="L23" i="2"/>
  <c r="J21" i="2"/>
  <c r="L21" i="2"/>
  <c r="J19" i="2"/>
  <c r="L19" i="2"/>
  <c r="L18" i="2"/>
  <c r="J18" i="2"/>
  <c r="L17" i="2"/>
  <c r="J17" i="2"/>
  <c r="L16" i="2"/>
  <c r="J16" i="2"/>
  <c r="L14" i="2"/>
  <c r="J14" i="2"/>
  <c r="L13" i="2"/>
  <c r="J13" i="2"/>
  <c r="J11" i="2"/>
  <c r="L11" i="2"/>
  <c r="L9" i="2"/>
  <c r="J9" i="2"/>
  <c r="L8" i="2"/>
  <c r="J8" i="2"/>
  <c r="J7" i="2"/>
  <c r="L7" i="2"/>
  <c r="L6" i="2"/>
  <c r="J6" i="2"/>
  <c r="J4" i="2"/>
  <c r="L4" i="2"/>
  <c r="L3" i="2"/>
  <c r="J3" i="2"/>
  <c r="L2" i="2"/>
  <c r="J2" i="2"/>
  <c r="E21" i="3" l="1"/>
  <c r="E19" i="3"/>
  <c r="E17" i="3"/>
  <c r="B9" i="3"/>
  <c r="B10" i="3" s="1"/>
  <c r="E16" i="3"/>
  <c r="E15" i="3"/>
  <c r="E18" i="3"/>
  <c r="E14" i="3"/>
  <c r="A26" i="3" l="1"/>
</calcChain>
</file>

<file path=xl/sharedStrings.xml><?xml version="1.0" encoding="utf-8"?>
<sst xmlns="http://schemas.openxmlformats.org/spreadsheetml/2006/main" count="291" uniqueCount="216">
  <si>
    <t>Respuesta</t>
  </si>
  <si>
    <t>Puntaje</t>
  </si>
  <si>
    <t>Equivale a</t>
  </si>
  <si>
    <t>A</t>
  </si>
  <si>
    <t>B</t>
  </si>
  <si>
    <t>C</t>
  </si>
  <si>
    <t>D</t>
  </si>
  <si>
    <t>No.</t>
  </si>
  <si>
    <t>Dimensión</t>
  </si>
  <si>
    <t>Pregunta</t>
  </si>
  <si>
    <t>A = Cat. 4</t>
  </si>
  <si>
    <t>B = Cat. 3</t>
  </si>
  <si>
    <t>C = Cat. 2</t>
  </si>
  <si>
    <t>D = Cat. 1</t>
  </si>
  <si>
    <t>Peso dim.</t>
  </si>
  <si>
    <t>Aportación</t>
  </si>
  <si>
    <t>Acompañamiento asociado</t>
  </si>
  <si>
    <t>Legal, fiscal y documentación institucional</t>
  </si>
  <si>
    <t>Situación legal y fiscal de la organización</t>
  </si>
  <si>
    <t>Está en proceso de formalización o tiene documentación legal/fiscal incompleta.</t>
  </si>
  <si>
    <t>Está constituida, pero su cumplimiento legal/fiscal es básico, reactivo o depende principalmente de terceros.</t>
  </si>
  <si>
    <t>Está constituida, cuenta con documentación actualizada y cumple regularmente sus obligaciones legales y fiscales.</t>
  </si>
  <si>
    <t>Tiene cumplimiento sistemático, revisión preventiva, políticas internas y capacidad para responder auditorías o requerimientos.</t>
  </si>
  <si>
    <t>Obligaciones fiscales y legales</t>
  </si>
  <si>
    <t>Administración y comprobación formal de recursos</t>
  </si>
  <si>
    <t>No cuenta con mecanismos formales para administrar o comprobar recursos; la evidencia es incompleta o dispersa.</t>
  </si>
  <si>
    <t>Administra recursos de forma básica, con controles manuales o apoyo externo, pero sin trazabilidad suficiente por proyecto.</t>
  </si>
  <si>
    <t>Cuenta con presupuestos, comprobación y conciliación regular de recursos por proyecto o fuente.</t>
  </si>
  <si>
    <t>Tiene controles internos, trazabilidad, conciliaciones periódicas y capacidad de responder a auditorías de forma ordenada.</t>
  </si>
  <si>
    <t>Obligaciones fiscales y legales / Movilización de recursos</t>
  </si>
  <si>
    <t>Archivo legal, fiscal y administrativo</t>
  </si>
  <si>
    <t>La documentación está dispersa, incompleta o desactualizada.</t>
  </si>
  <si>
    <t>Cuenta con documentos básicos, pero el archivo depende de personas específicas o no se actualiza de forma periódica.</t>
  </si>
  <si>
    <t>Mantiene archivo legal, fiscal y administrativo actualizado, organizado y disponible.</t>
  </si>
  <si>
    <t>Cuenta con gestión documental institucional, responsables definidos y revisión periódica de vigencia y cumplimiento.</t>
  </si>
  <si>
    <t>Transparencia y buenas prácticas</t>
  </si>
  <si>
    <t>Gobernanza y toma de decisiones</t>
  </si>
  <si>
    <t>Funcionamiento del órgano de gobierno</t>
  </si>
  <si>
    <t>No cuenta con órgano de gobierno activo o las decisiones se toman principalmente de forma operativa e informal.</t>
  </si>
  <si>
    <t>Cuenta con órgano de gobierno formal, pero su participación es limitada, principalmente de validación o firma.</t>
  </si>
  <si>
    <t>El órgano de gobierno sesiona, toma acuerdos y revisa temas estratégicos, legales y financieros.</t>
  </si>
  <si>
    <t>El órgano de gobierno participa activamente en estrategia, supervisión de resultados, riesgos y crecimiento institucional.</t>
  </si>
  <si>
    <t>Gobernanza / Estructura del órgano de gobierno</t>
  </si>
  <si>
    <t>Claridad de roles entre consejo/patronato y dirección</t>
  </si>
  <si>
    <t>Los roles no están diferenciados o dependen de acuerdos informales.</t>
  </si>
  <si>
    <t>Existen roles generales, pero se mezclan funciones estratégicas, operativas y administrativas.</t>
  </si>
  <si>
    <t>Las funciones están definidas y se respetan en la mayoría de las decisiones relevantes.</t>
  </si>
  <si>
    <t>Existe una arquitectura clara de gobernanza, con comités, responsabilidades, seguimiento y rendición de cuentas.</t>
  </si>
  <si>
    <t>Gobernanza</t>
  </si>
  <si>
    <t>Documentación y seguimiento de decisiones</t>
  </si>
  <si>
    <t>Las decisiones relevantes no se documentan o se registran de manera informal.</t>
  </si>
  <si>
    <t>Se documentan algunas decisiones, pero no hay seguimiento sistemático de acuerdos.</t>
  </si>
  <si>
    <t>Las decisiones se documentan mediante actas, minutas o acuerdos y se da seguimiento regular.</t>
  </si>
  <si>
    <t>Existe un sistema institucional de seguimiento de acuerdos, riesgos y decisiones estratégicas.</t>
  </si>
  <si>
    <t>Gobernanza / Transparencia</t>
  </si>
  <si>
    <t>Planeación e identidad institucional</t>
  </si>
  <si>
    <t>Claridad de misión, visión y líneas de trabajo</t>
  </si>
  <si>
    <t>La organización opera con una misión general no formalizada o poco conocida por el equipo.</t>
  </si>
  <si>
    <t>Tiene misión/visión o prioridades, pero no orientan de manera clara las decisiones cotidianas.</t>
  </si>
  <si>
    <t>Cuenta con misión, visión, objetivos y líneas de trabajo claras, conocidas por el equipo.</t>
  </si>
  <si>
    <t>La identidad institucional orienta decisiones, alianzas, comunicación, programas y crecimiento estratégico.</t>
  </si>
  <si>
    <t>Planeación estratégica</t>
  </si>
  <si>
    <t>Planeación estratégica o plan institucional</t>
  </si>
  <si>
    <t>No cuenta con planeación escrita; opera principalmente por urgencias u oportunidades.</t>
  </si>
  <si>
    <t>Cuenta con una planeación básica o desactualizada que se consulta ocasionalmente.</t>
  </si>
  <si>
    <t>Tiene planeación vigente con objetivos, metas y líneas de acción definidas.</t>
  </si>
  <si>
    <t>Tiene planeación estratégica viva, revisada periódicamente y ajustada con evidencia/contexto.</t>
  </si>
  <si>
    <t>Traducción de la estrategia a planes operativos</t>
  </si>
  <si>
    <t>No hay planes operativos claros con responsables, actividades y tiempos.</t>
  </si>
  <si>
    <t>Existen actividades planeadas, pero no siempre se vinculan a metas o responsables claros.</t>
  </si>
  <si>
    <t>Cuenta con planes operativos, responsables, cronogramas y metas vinculadas a la estrategia.</t>
  </si>
  <si>
    <t>Integra planeación estratégica, presupuesto, operación, indicadores y aprendizaje institucional.</t>
  </si>
  <si>
    <t>Planeación estratégica / Diseño de proyectos</t>
  </si>
  <si>
    <t>Administración, operación y talento</t>
  </si>
  <si>
    <t>Estructura interna y distribución de responsabilidades</t>
  </si>
  <si>
    <t>La estructura es informal y depende de pocas personas clave.</t>
  </si>
  <si>
    <t>Existe una estructura básica, pero con roles poco claros o alta concentración de funciones.</t>
  </si>
  <si>
    <t>Cuenta con organigrama, roles y responsabilidades definidos para la operación principal.</t>
  </si>
  <si>
    <t>Tiene estructura funcional, perfiles, procesos de coordinación y capacidad para escalar operación.</t>
  </si>
  <si>
    <t>Gestión del equipo, voluntariado o colaboraciones</t>
  </si>
  <si>
    <t>Las colaboraciones son informales y no hay procesos claros de incorporación o seguimiento.</t>
  </si>
  <si>
    <t>Existen acuerdos básicos de colaboración, pero sin gestión sistemática del talento.</t>
  </si>
  <si>
    <t>Cuenta con procesos para incorporación, funciones, capacitación o seguimiento del equipo.</t>
  </si>
  <si>
    <t>Tiene políticas de talento, desarrollo de capacidades, evaluación y sucesión de roles clave.</t>
  </si>
  <si>
    <t>Procesos administrativos y control interno</t>
  </si>
  <si>
    <t>Los procesos administrativos se resuelven caso por caso, sin criterios comunes.</t>
  </si>
  <si>
    <t>Existen procedimientos básicos, pero se aplican de forma irregular o dependen de una persona.</t>
  </si>
  <si>
    <t>Tiene procedimientos para compras, pagos, archivos, comprobaciones y control interno.</t>
  </si>
  <si>
    <t>Cuenta con procesos institucionalizados, supervisión, mejora continua y gestión de riesgos operativos.</t>
  </si>
  <si>
    <t>Obligaciones fiscales y legales / Gestión de riesgos</t>
  </si>
  <si>
    <t>Diseño y gestión de proyectos</t>
  </si>
  <si>
    <t>Diseño de proyectos a partir de problemas o necesidades</t>
  </si>
  <si>
    <t>Los proyectos se diseñan principalmente por oportunidad o solicitud externa, sin diagnóstico claro.</t>
  </si>
  <si>
    <t>Se identifican necesidades, pero no siempre se documentan o analizan de forma estructurada.</t>
  </si>
  <si>
    <t>Los proyectos parten de diagnósticos, población objetivo, problemas y objetivos definidos.</t>
  </si>
  <si>
    <t>El diseño integra evidencia, participación de actores, análisis de contexto y aprendizaje previo.</t>
  </si>
  <si>
    <t>Construcción del árbol de problemas / Diseño de proyectos</t>
  </si>
  <si>
    <t>Uso de metodologías de diseño y cambio</t>
  </si>
  <si>
    <t>No usa herramientas formales como árbol de problemas, marco lógico o teoría de cambio.</t>
  </si>
  <si>
    <t>Usa algunas herramientas de forma básica o solo cuando el donante lo solicita.</t>
  </si>
  <si>
    <t>Utiliza metodologías de diseño como árbol de problemas, teoría de cambio, marco lógico o matriz de resultados.</t>
  </si>
  <si>
    <t>Integra metodologías de diseño, evaluación, aprendizaje e innovación para mejorar la intervención.</t>
  </si>
  <si>
    <t>Teoría de cambio y/o Marco Lógico / Diseño de proyectos</t>
  </si>
  <si>
    <t>Seguimiento de avances, entregables y calidad</t>
  </si>
  <si>
    <t>El seguimiento se basa en listas, evidencias sueltas o reportes al cierre.</t>
  </si>
  <si>
    <t>Se da seguimiento a actividades, pero sin control regular de cronograma, entregables o responsables.</t>
  </si>
  <si>
    <t>Cuenta con cronogramas, responsables, entregables y reportes periódicos por proyecto.</t>
  </si>
  <si>
    <t>Tiene sistemas de gestión que alertan desviaciones, documentan aprendizajes y aseguran calidad técnica.</t>
  </si>
  <si>
    <t>Diseño de proyectos / Gestión de grupos de interés</t>
  </si>
  <si>
    <t>Sostenibilidad financiera y movilización de recursos</t>
  </si>
  <si>
    <t>Presupuesto institucional y control financiero</t>
  </si>
  <si>
    <t>No cuenta con presupuesto formal o el control financiero es estimativo.</t>
  </si>
  <si>
    <t>Tiene presupuestos básicos, pero el seguimiento es reactivo o irregular.</t>
  </si>
  <si>
    <t>Cuenta con presupuesto institucional/proyecto y monitorea ingresos, egresos y variaciones.</t>
  </si>
  <si>
    <t>Integra presupuesto, flujo de efectivo, costos indirectos, escenarios y decisiones financieras estratégicas.</t>
  </si>
  <si>
    <t>Movilización de recursos / Procuración y diversificación de ingresos</t>
  </si>
  <si>
    <t>Diversificación de fuentes de ingreso</t>
  </si>
  <si>
    <t>Depende de una sola fuente principal o de aportaciones ocasionales.</t>
  </si>
  <si>
    <t>Cuenta con pocas fuentes de ingreso y busca recursos de forma no sistemática.</t>
  </si>
  <si>
    <t>Tiene varias fuentes o una estrategia activa para diversificar ingresos.</t>
  </si>
  <si>
    <t>Cuenta con portafolio diversificado, fondos recurrentes, alianzas y/o generación de ingresos propios.</t>
  </si>
  <si>
    <t>Movilización de recursos / Fondos internacionales</t>
  </si>
  <si>
    <t>Estrategia de procuración o movilización de recursos</t>
  </si>
  <si>
    <t>No tiene estrategia ni responsable claro para gestionar recursos.</t>
  </si>
  <si>
    <t>Realiza solicitudes o campañas de forma ocasional, sin seguimiento sistemático.</t>
  </si>
  <si>
    <t>Tiene proceso, responsables, calendario o metas para gestionar recursos.</t>
  </si>
  <si>
    <t>Cuenta con estrategia avanzada de procuración, segmentación de donantes, seguimiento e indicadores de conversión.</t>
  </si>
  <si>
    <t>Movilización de recursos / Procuración y diversificación</t>
  </si>
  <si>
    <t>Comunicación, alianzas y transparencia</t>
  </si>
  <si>
    <t>Comunicación institucional</t>
  </si>
  <si>
    <t>La organización comunica de forma irregular o sin mensajes institucionales claros.</t>
  </si>
  <si>
    <t>Tiene canales activos, pero con poca consistencia o alineación estratégica.</t>
  </si>
  <si>
    <t>Comunica claramente quién es, qué hace, a quién atiende y qué resultados busca.</t>
  </si>
  <si>
    <t>Tiene comunicación estratégica, narrativa institucional, segmentación de públicos y medición de alcance/efectividad.</t>
  </si>
  <si>
    <t>Comunicación institucional / Comunicación estratégica</t>
  </si>
  <si>
    <t>Gestión de alianzas y grupos de interés</t>
  </si>
  <si>
    <t>Las relaciones con aliados son ocasionales o dependen de contactos personales.</t>
  </si>
  <si>
    <t>Tiene aliados identificados, pero sin estrategia clara de seguimiento o colaboración.</t>
  </si>
  <si>
    <t>Gestiona alianzas, convenios, redes o espacios de colaboración relacionados con su misión.</t>
  </si>
  <si>
    <t>Construye alianzas estratégicas, nacionales/internacionales o multisectoriales para ampliar impacto e incidencia.</t>
  </si>
  <si>
    <t>Gestión de grupos de interés / Incidencia pública</t>
  </si>
  <si>
    <t>Transparencia y rendición de cuentas</t>
  </si>
  <si>
    <t>No genera informes públicos ni mecanismos formales de rendición de cuentas.</t>
  </si>
  <si>
    <t>Rinde cuentas principalmente cuando un donante o autoridad lo solicita.</t>
  </si>
  <si>
    <t>Cuenta con informes, reportes o mecanismos de transparencia hacia donantes, aliados o comunidad.</t>
  </si>
  <si>
    <t>Integra rendición de cuentas pública, devolución de resultados, participación comunitaria y aprendizaje institucional.</t>
  </si>
  <si>
    <t>Evaluación, impacto e innovación</t>
  </si>
  <si>
    <t>Registro de información sobre actividades y población atendida</t>
  </si>
  <si>
    <t>Registra evidencia básica como fotos, listas o testimonios aislados.</t>
  </si>
  <si>
    <t>Registra datos de actividades y población atendida, pero de forma manual o no sistemática.</t>
  </si>
  <si>
    <t>Cuenta con registros organizados de cobertura, actividades, servicios y población atendida.</t>
  </si>
  <si>
    <t>Tiene sistemas digitales, bases de datos limpias y uso regular de información para decisiones.</t>
  </si>
  <si>
    <t>Evaluación de impacto / IA y transformación digital</t>
  </si>
  <si>
    <t>Indicadores, resultados e impacto</t>
  </si>
  <si>
    <t>No cuenta con indicadores; evalúa principalmente de forma anecdótica.</t>
  </si>
  <si>
    <t>Mide productos o actividades, pero no cambios/resultados en la población.</t>
  </si>
  <si>
    <t>Cuenta con indicadores de proceso y resultado para medir avances de sus proyectos.</t>
  </si>
  <si>
    <t>Realiza evaluación, análisis de impacto, aprendizaje y uso de evidencia para incidir/mejorar programas.</t>
  </si>
  <si>
    <t>Evaluación de impacto</t>
  </si>
  <si>
    <t>Innovación, herramientas digitales y mejora continua</t>
  </si>
  <si>
    <t>Usa herramientas digitales básicas solo para operación cotidiana.</t>
  </si>
  <si>
    <t>Ha incorporado algunas herramientas, pero sin estrategia clara de transformación digital o innovación.</t>
  </si>
  <si>
    <t>Utiliza herramientas digitales, datos o nuevas metodologías para mejorar operación y proyectos.</t>
  </si>
  <si>
    <t>Integra innovación, análisis de datos, IA o transformación digital para escalar impacto y eficiencia.</t>
  </si>
  <si>
    <t>IA y transformación digital / Innovación institucional</t>
  </si>
  <si>
    <t>Resultado del autodiagnóstico | ¿a qué categoría se manda la OSC?</t>
  </si>
  <si>
    <t>Nombre de la organización</t>
  </si>
  <si>
    <t>Municipio / Estado</t>
  </si>
  <si>
    <t>Persona que responde</t>
  </si>
  <si>
    <t>A dónde se manda</t>
  </si>
  <si>
    <t>Cargo</t>
  </si>
  <si>
    <t>Fecha</t>
  </si>
  <si>
    <t>Respuestas capturadas</t>
  </si>
  <si>
    <t>Puntaje ponderado</t>
  </si>
  <si>
    <t>Categoría final</t>
  </si>
  <si>
    <t>Promedio</t>
  </si>
  <si>
    <t>Categoría predominante</t>
  </si>
  <si>
    <t>Peso</t>
  </si>
  <si>
    <t>Aportación ponderada</t>
  </si>
  <si>
    <t>Interpretación rápida</t>
  </si>
  <si>
    <t>Equivalencias de respuesta y categoría final</t>
  </si>
  <si>
    <t>Categoría equivalente</t>
  </si>
  <si>
    <t>Nombre de la categoría</t>
  </si>
  <si>
    <t>Interpretación</t>
  </si>
  <si>
    <t>Impulso a OSC emergentes</t>
  </si>
  <si>
    <t>Estructura incipiente, procesos no formalizados o en formalización.</t>
  </si>
  <si>
    <t>Construcción y consolidación de capacidades</t>
  </si>
  <si>
    <t>Operación básica, con áreas que requieren profesionalización.</t>
  </si>
  <si>
    <t>Innovación institucional</t>
  </si>
  <si>
    <t>Institucionalización funcional, con procesos y programas más consolidados.</t>
  </si>
  <si>
    <t>Escalamiento e impacto transformador</t>
  </si>
  <si>
    <t>Prácticas sistemáticas, medición, sostenibilidad y capacidad de incidencia/escalamiento.</t>
  </si>
  <si>
    <t>Nombre</t>
  </si>
  <si>
    <t>1.00 a 1.75</t>
  </si>
  <si>
    <t>Plan genérico de Categoría 4</t>
  </si>
  <si>
    <t>1.76 a 2.50</t>
  </si>
  <si>
    <t>Plan genérico de Categoría 3</t>
  </si>
  <si>
    <t>2.51 a 3.25</t>
  </si>
  <si>
    <t>Plan genérico de Categoría 2</t>
  </si>
  <si>
    <t>3.26 a 4.00</t>
  </si>
  <si>
    <t>Plan genérico de Categoría 1</t>
  </si>
  <si>
    <t>Peso %</t>
  </si>
  <si>
    <t>Número de reactivos</t>
  </si>
  <si>
    <t>Qué define</t>
  </si>
  <si>
    <t>25%</t>
  </si>
  <si>
    <t>La posibilidad real de operar, recibir/comprobar recursos y sostener cumplimiento institucional.</t>
  </si>
  <si>
    <t>15%</t>
  </si>
  <si>
    <t>Funcionamiento del consejo/patronato/asamblea, roles y supervisión estratégica.</t>
  </si>
  <si>
    <t>Claridad de misión, estrategia, metas y uso de la planeación para decidir.</t>
  </si>
  <si>
    <t>10%</t>
  </si>
  <si>
    <t>Estructura, procesos administrativos, roles y gestión del equipo.</t>
  </si>
  <si>
    <t>Capacidad para diseñar, ejecutar y dar seguimiento técnico a proyectos.</t>
  </si>
  <si>
    <t>Presupuesto, flujo, diversificación y procuración/movilización de recursos.</t>
  </si>
  <si>
    <t>Comunicación institucional, redes, grupos de interés y rendición de cuentas.</t>
  </si>
  <si>
    <t>5%</t>
  </si>
  <si>
    <t>Registro de información, indicadores, aprendizaje, herramientas digitales e innovación.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</si>
</sst>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0"/>
      <color rgb="FFFFFFFF"/>
      <name val="Aptos"/>
    </font>
    <font>
      <sz val="10"/>
      <name val="Aptos"/>
    </font>
    <font>
      <b/>
      <sz val="10"/>
      <color rgb="FF0A2540"/>
      <name val="Aptos"/>
    </font>
    <font>
      <b/>
      <sz val="10"/>
      <name val="Aptos"/>
    </font>
    <font>
      <b/>
      <sz val="10"/>
      <color rgb="FF6B7280"/>
      <name val="Aptos"/>
    </font>
  </fonts>
  <fills count="7">
    <fill>
      <patternFill patternType="none"/>
    </fill>
    <fill>
      <patternFill patternType="gray125"/>
    </fill>
    <fill>
      <patternFill patternType="solid">
        <fgColor rgb="FF0A2540"/>
      </patternFill>
    </fill>
    <fill>
      <patternFill patternType="solid">
        <fgColor rgb="FFF3F4F6"/>
      </patternFill>
    </fill>
    <fill>
      <patternFill patternType="solid">
        <fgColor rgb="FFFEF9C3"/>
      </patternFill>
    </fill>
    <fill>
      <patternFill patternType="solid">
        <fgColor rgb="FFFFFFFF"/>
      </patternFill>
    </fill>
    <fill>
      <patternFill patternType="solid">
        <fgColor rgb="FFE0F2F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top" wrapText="1"/>
    </xf>
    <xf numFmtId="2" fontId="2" fillId="0" borderId="1" xfId="0" applyNumberFormat="1" applyFont="1" applyBorder="1" applyAlignment="1">
      <alignment vertical="top" wrapText="1"/>
    </xf>
    <xf numFmtId="0" fontId="3" fillId="3" borderId="1" xfId="0" applyFont="1" applyFill="1" applyBorder="1"/>
    <xf numFmtId="0" fontId="2" fillId="5" borderId="1" xfId="0" applyFont="1" applyFill="1" applyBorder="1"/>
    <xf numFmtId="0" fontId="2" fillId="0" borderId="1" xfId="0" applyFont="1" applyBorder="1"/>
    <xf numFmtId="2" fontId="2" fillId="0" borderId="1" xfId="0" applyNumberFormat="1" applyFont="1" applyBorder="1"/>
    <xf numFmtId="0" fontId="1" fillId="2" borderId="1" xfId="0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0" fontId="3" fillId="3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vertical="top" wrapText="1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5" fillId="0" borderId="1" xfId="0" applyFont="1" applyBorder="1"/>
    <xf numFmtId="0" fontId="3" fillId="6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</font>
      <fill>
        <patternFill>
          <bgColor rgb="FFDCFCE7"/>
        </patternFill>
      </fill>
    </dxf>
    <dxf>
      <font>
        <b/>
      </font>
      <fill>
        <patternFill>
          <bgColor rgb="FFE0F2FE"/>
        </patternFill>
      </fill>
    </dxf>
    <dxf>
      <font>
        <b/>
      </font>
      <fill>
        <patternFill>
          <bgColor rgb="FFFEF9C3"/>
        </patternFill>
      </fill>
    </dxf>
    <dxf>
      <font>
        <b/>
      </font>
      <fill>
        <patternFill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Promedio</c:v>
          </c:tx>
          <c:invertIfNegative val="1"/>
          <c:cat>
            <c:strRef>
              <c:f>'02_Resultados'!$A$14:$A$21</c:f>
              <c:strCache>
                <c:ptCount val="8"/>
                <c:pt idx="0">
                  <c:v>Legal, fiscal y documentación institucional</c:v>
                </c:pt>
                <c:pt idx="1">
                  <c:v>Gobernanza y toma de decisiones</c:v>
                </c:pt>
                <c:pt idx="2">
                  <c:v>Planeación e identidad institucional</c:v>
                </c:pt>
                <c:pt idx="3">
                  <c:v>Administración, operación y talento</c:v>
                </c:pt>
                <c:pt idx="4">
                  <c:v>Diseño y gestión de proyectos</c:v>
                </c:pt>
                <c:pt idx="5">
                  <c:v>Sostenibilidad financiera y movilización de recursos</c:v>
                </c:pt>
                <c:pt idx="6">
                  <c:v>Comunicación, alianzas y transparencia</c:v>
                </c:pt>
                <c:pt idx="7">
                  <c:v>Evaluación, impacto e innovación</c:v>
                </c:pt>
              </c:strCache>
            </c:strRef>
          </c:cat>
          <c:val>
            <c:numRef>
              <c:f>'02_Resultados'!$B$14:$B$21</c:f>
              <c:numCache>
                <c:formatCode>0.00</c:formatCode>
                <c:ptCount val="8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AB-46C8-8E69-5C00B0812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MX"/>
                  <a:t>Puntaje (1 a 4)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12</xdr:row>
      <xdr:rowOff>0</xdr:rowOff>
    </xdr:from>
    <xdr:to>
      <xdr:col>13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estionarioTable" displayName="CuestionarioTable" ref="A1:M25">
  <tableColumns count="13">
    <tableColumn id="1" xr3:uid="{00000000-0010-0000-0000-000001000000}" name="No."/>
    <tableColumn id="2" xr3:uid="{00000000-0010-0000-0000-000002000000}" name="Dimensión"/>
    <tableColumn id="3" xr3:uid="{00000000-0010-0000-0000-000003000000}" name="Pregunta"/>
    <tableColumn id="4" xr3:uid="{00000000-0010-0000-0000-000004000000}" name="A = Cat. 4"/>
    <tableColumn id="5" xr3:uid="{00000000-0010-0000-0000-000005000000}" name="B = Cat. 3"/>
    <tableColumn id="6" xr3:uid="{00000000-0010-0000-0000-000006000000}" name="C = Cat. 2"/>
    <tableColumn id="7" xr3:uid="{00000000-0010-0000-0000-000007000000}" name="D = Cat. 1"/>
    <tableColumn id="8" xr3:uid="{00000000-0010-0000-0000-000008000000}" name="Respuesta"/>
    <tableColumn id="9" xr3:uid="{00000000-0010-0000-0000-000009000000}" name="Puntaje"/>
    <tableColumn id="10" xr3:uid="{00000000-0010-0000-0000-00000A000000}" name="Equivale a"/>
    <tableColumn id="11" xr3:uid="{00000000-0010-0000-0000-00000B000000}" name="Peso dim."/>
    <tableColumn id="12" xr3:uid="{00000000-0010-0000-0000-00000C000000}" name="Aportación"/>
    <tableColumn id="13" xr3:uid="{00000000-0010-0000-0000-00000D000000}" name="Acompañamiento asoci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tabSelected="1" workbookViewId="0">
      <selection activeCell="H26" sqref="H26"/>
    </sheetView>
  </sheetViews>
  <sheetFormatPr defaultRowHeight="13.8"/>
  <cols>
    <col min="1" max="1" width="6" customWidth="1"/>
    <col min="2" max="2" width="42.5" customWidth="1"/>
    <col min="3" max="3" width="47.3984375" customWidth="1"/>
    <col min="4" max="7" width="38" customWidth="1"/>
    <col min="8" max="10" width="18" customWidth="1"/>
    <col min="11" max="11" width="14" customWidth="1"/>
    <col min="12" max="12" width="16.69921875" customWidth="1"/>
    <col min="13" max="13" width="36" customWidth="1"/>
  </cols>
  <sheetData>
    <row r="1" spans="1:26" ht="14.4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0</v>
      </c>
      <c r="I1" s="2" t="s">
        <v>1</v>
      </c>
      <c r="J1" s="2" t="s">
        <v>2</v>
      </c>
      <c r="K1" s="2" t="s">
        <v>14</v>
      </c>
      <c r="L1" s="2" t="s">
        <v>15</v>
      </c>
      <c r="M1" s="2" t="s">
        <v>16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1.4">
      <c r="A2" s="3">
        <v>1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4" t="s">
        <v>6</v>
      </c>
      <c r="I2" s="3">
        <f t="shared" ref="I2:I25" si="0">IF(H2="","",IF(H2="A",1,IF(H2="B",2,IF(H2="C",3,IF(H2="D",4,"")))))</f>
        <v>4</v>
      </c>
      <c r="J2" s="3" t="str">
        <f t="shared" ref="J2:J25" si="1">IF(I2="","",IF(I2=1,"Categoría 4",IF(I2=2,"Categoría 3",IF(I2=3,"Categoría 2",IF(I2=4,"Categoría 1","")))))</f>
        <v>Categoría 1</v>
      </c>
      <c r="K2" s="5">
        <f>IFERROR(VLOOKUP(B2,'05_Dimensiones'!$A$2:$B$9,2,FALSE),"")</f>
        <v>0.25</v>
      </c>
      <c r="L2" s="5">
        <f t="shared" ref="L2:L25" si="2">IF(I2="","",I2*K2/COUNTIF($B$2:$B$25,B2))</f>
        <v>0.33333333333333331</v>
      </c>
      <c r="M2" s="3" t="s">
        <v>23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1.4">
      <c r="A3" s="3">
        <v>2</v>
      </c>
      <c r="B3" s="3" t="s">
        <v>17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4" t="s">
        <v>6</v>
      </c>
      <c r="I3" s="3">
        <f t="shared" si="0"/>
        <v>4</v>
      </c>
      <c r="J3" s="3" t="str">
        <f t="shared" si="1"/>
        <v>Categoría 1</v>
      </c>
      <c r="K3" s="5">
        <f>IFERROR(VLOOKUP(B3,'05_Dimensiones'!$A$2:$B$9,2,FALSE),"")</f>
        <v>0.25</v>
      </c>
      <c r="L3" s="5">
        <f t="shared" si="2"/>
        <v>0.33333333333333331</v>
      </c>
      <c r="M3" s="3" t="s">
        <v>29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1.4">
      <c r="A4" s="3">
        <v>3</v>
      </c>
      <c r="B4" s="3" t="s">
        <v>17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4" t="s">
        <v>6</v>
      </c>
      <c r="I4" s="3">
        <f t="shared" si="0"/>
        <v>4</v>
      </c>
      <c r="J4" s="3" t="str">
        <f t="shared" si="1"/>
        <v>Categoría 1</v>
      </c>
      <c r="K4" s="5">
        <f>IFERROR(VLOOKUP(B4,'05_Dimensiones'!$A$2:$B$9,2,FALSE),"")</f>
        <v>0.25</v>
      </c>
      <c r="L4" s="5">
        <f t="shared" si="2"/>
        <v>0.33333333333333331</v>
      </c>
      <c r="M4" s="3" t="s">
        <v>35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1.4">
      <c r="A5" s="3">
        <v>4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4" t="s">
        <v>6</v>
      </c>
      <c r="I5" s="3">
        <f t="shared" si="0"/>
        <v>4</v>
      </c>
      <c r="J5" s="3" t="str">
        <f t="shared" si="1"/>
        <v>Categoría 1</v>
      </c>
      <c r="K5" s="5">
        <f>IFERROR(VLOOKUP(B5,'05_Dimensiones'!$A$2:$B$9,2,FALSE),"")</f>
        <v>0.15</v>
      </c>
      <c r="L5" s="5">
        <f t="shared" si="2"/>
        <v>0.19999999999999998</v>
      </c>
      <c r="M5" s="3" t="s">
        <v>42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1.4">
      <c r="A6" s="3">
        <v>5</v>
      </c>
      <c r="B6" s="3" t="s">
        <v>36</v>
      </c>
      <c r="C6" s="3" t="s">
        <v>43</v>
      </c>
      <c r="D6" s="3" t="s">
        <v>44</v>
      </c>
      <c r="E6" s="3" t="s">
        <v>45</v>
      </c>
      <c r="F6" s="3" t="s">
        <v>46</v>
      </c>
      <c r="G6" s="3" t="s">
        <v>47</v>
      </c>
      <c r="H6" s="4" t="s">
        <v>6</v>
      </c>
      <c r="I6" s="3">
        <f t="shared" si="0"/>
        <v>4</v>
      </c>
      <c r="J6" s="3" t="str">
        <f t="shared" si="1"/>
        <v>Categoría 1</v>
      </c>
      <c r="K6" s="5">
        <f>IFERROR(VLOOKUP(B6,'05_Dimensiones'!$A$2:$B$9,2,FALSE),"")</f>
        <v>0.15</v>
      </c>
      <c r="L6" s="5">
        <f t="shared" si="2"/>
        <v>0.19999999999999998</v>
      </c>
      <c r="M6" s="3" t="s">
        <v>48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.6">
      <c r="A7" s="3">
        <v>6</v>
      </c>
      <c r="B7" s="3" t="s">
        <v>36</v>
      </c>
      <c r="C7" s="3" t="s">
        <v>49</v>
      </c>
      <c r="D7" s="3" t="s">
        <v>50</v>
      </c>
      <c r="E7" s="3" t="s">
        <v>51</v>
      </c>
      <c r="F7" s="3" t="s">
        <v>52</v>
      </c>
      <c r="G7" s="3" t="s">
        <v>53</v>
      </c>
      <c r="H7" s="4" t="s">
        <v>6</v>
      </c>
      <c r="I7" s="3">
        <f t="shared" si="0"/>
        <v>4</v>
      </c>
      <c r="J7" s="3" t="str">
        <f t="shared" si="1"/>
        <v>Categoría 1</v>
      </c>
      <c r="K7" s="5">
        <f>IFERROR(VLOOKUP(B7,'05_Dimensiones'!$A$2:$B$9,2,FALSE),"")</f>
        <v>0.15</v>
      </c>
      <c r="L7" s="5">
        <f t="shared" si="2"/>
        <v>0.19999999999999998</v>
      </c>
      <c r="M7" s="3" t="s">
        <v>54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1.4">
      <c r="A8" s="3">
        <v>7</v>
      </c>
      <c r="B8" s="3" t="s">
        <v>55</v>
      </c>
      <c r="C8" s="3" t="s">
        <v>56</v>
      </c>
      <c r="D8" s="3" t="s">
        <v>57</v>
      </c>
      <c r="E8" s="3" t="s">
        <v>58</v>
      </c>
      <c r="F8" s="3" t="s">
        <v>59</v>
      </c>
      <c r="G8" s="3" t="s">
        <v>60</v>
      </c>
      <c r="H8" s="4" t="s">
        <v>6</v>
      </c>
      <c r="I8" s="3">
        <f t="shared" si="0"/>
        <v>4</v>
      </c>
      <c r="J8" s="3" t="str">
        <f t="shared" si="1"/>
        <v>Categoría 1</v>
      </c>
      <c r="K8" s="5">
        <f>IFERROR(VLOOKUP(B8,'05_Dimensiones'!$A$2:$B$9,2,FALSE),"")</f>
        <v>0.15</v>
      </c>
      <c r="L8" s="5">
        <f t="shared" si="2"/>
        <v>0.19999999999999998</v>
      </c>
      <c r="M8" s="3" t="s">
        <v>61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1.4">
      <c r="A9" s="3">
        <v>8</v>
      </c>
      <c r="B9" s="3" t="s">
        <v>55</v>
      </c>
      <c r="C9" s="3" t="s">
        <v>62</v>
      </c>
      <c r="D9" s="3" t="s">
        <v>63</v>
      </c>
      <c r="E9" s="3" t="s">
        <v>64</v>
      </c>
      <c r="F9" s="3" t="s">
        <v>65</v>
      </c>
      <c r="G9" s="3" t="s">
        <v>66</v>
      </c>
      <c r="H9" s="4" t="s">
        <v>6</v>
      </c>
      <c r="I9" s="3">
        <f t="shared" si="0"/>
        <v>4</v>
      </c>
      <c r="J9" s="3" t="str">
        <f t="shared" si="1"/>
        <v>Categoría 1</v>
      </c>
      <c r="K9" s="5">
        <f>IFERROR(VLOOKUP(B9,'05_Dimensiones'!$A$2:$B$9,2,FALSE),"")</f>
        <v>0.15</v>
      </c>
      <c r="L9" s="5">
        <f t="shared" si="2"/>
        <v>0.19999999999999998</v>
      </c>
      <c r="M9" s="3" t="s">
        <v>61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1.4">
      <c r="A10" s="3">
        <v>9</v>
      </c>
      <c r="B10" s="3" t="s">
        <v>55</v>
      </c>
      <c r="C10" s="3" t="s">
        <v>67</v>
      </c>
      <c r="D10" s="3" t="s">
        <v>68</v>
      </c>
      <c r="E10" s="3" t="s">
        <v>69</v>
      </c>
      <c r="F10" s="3" t="s">
        <v>70</v>
      </c>
      <c r="G10" s="3" t="s">
        <v>71</v>
      </c>
      <c r="H10" s="4" t="s">
        <v>6</v>
      </c>
      <c r="I10" s="3">
        <f t="shared" si="0"/>
        <v>4</v>
      </c>
      <c r="J10" s="3" t="str">
        <f t="shared" si="1"/>
        <v>Categoría 1</v>
      </c>
      <c r="K10" s="5">
        <f>IFERROR(VLOOKUP(B10,'05_Dimensiones'!$A$2:$B$9,2,FALSE),"")</f>
        <v>0.15</v>
      </c>
      <c r="L10" s="5">
        <f t="shared" si="2"/>
        <v>0.19999999999999998</v>
      </c>
      <c r="M10" s="3" t="s">
        <v>72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1.4">
      <c r="A11" s="3">
        <v>10</v>
      </c>
      <c r="B11" s="3" t="s">
        <v>73</v>
      </c>
      <c r="C11" s="3" t="s">
        <v>74</v>
      </c>
      <c r="D11" s="3" t="s">
        <v>75</v>
      </c>
      <c r="E11" s="3" t="s">
        <v>76</v>
      </c>
      <c r="F11" s="3" t="s">
        <v>77</v>
      </c>
      <c r="G11" s="3" t="s">
        <v>78</v>
      </c>
      <c r="H11" s="4" t="s">
        <v>6</v>
      </c>
      <c r="I11" s="3">
        <f t="shared" si="0"/>
        <v>4</v>
      </c>
      <c r="J11" s="3" t="str">
        <f t="shared" si="1"/>
        <v>Categoría 1</v>
      </c>
      <c r="K11" s="5">
        <f>IFERROR(VLOOKUP(B11,'05_Dimensiones'!$A$2:$B$9,2,FALSE),"")</f>
        <v>0.1</v>
      </c>
      <c r="L11" s="5">
        <f t="shared" si="2"/>
        <v>0.13333333333333333</v>
      </c>
      <c r="M11" s="3" t="s">
        <v>54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1.4">
      <c r="A12" s="3">
        <v>11</v>
      </c>
      <c r="B12" s="3" t="s">
        <v>73</v>
      </c>
      <c r="C12" s="3" t="s">
        <v>79</v>
      </c>
      <c r="D12" s="3" t="s">
        <v>80</v>
      </c>
      <c r="E12" s="3" t="s">
        <v>81</v>
      </c>
      <c r="F12" s="3" t="s">
        <v>82</v>
      </c>
      <c r="G12" s="3" t="s">
        <v>83</v>
      </c>
      <c r="H12" s="4" t="s">
        <v>6</v>
      </c>
      <c r="I12" s="3">
        <f t="shared" si="0"/>
        <v>4</v>
      </c>
      <c r="J12" s="3" t="str">
        <f t="shared" si="1"/>
        <v>Categoría 1</v>
      </c>
      <c r="K12" s="5">
        <f>IFERROR(VLOOKUP(B12,'05_Dimensiones'!$A$2:$B$9,2,FALSE),"")</f>
        <v>0.1</v>
      </c>
      <c r="L12" s="5">
        <f t="shared" si="2"/>
        <v>0.13333333333333333</v>
      </c>
      <c r="M12" s="3" t="s">
        <v>35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1.4">
      <c r="A13" s="3">
        <v>12</v>
      </c>
      <c r="B13" s="3" t="s">
        <v>73</v>
      </c>
      <c r="C13" s="3" t="s">
        <v>84</v>
      </c>
      <c r="D13" s="3" t="s">
        <v>85</v>
      </c>
      <c r="E13" s="3" t="s">
        <v>86</v>
      </c>
      <c r="F13" s="3" t="s">
        <v>87</v>
      </c>
      <c r="G13" s="3" t="s">
        <v>88</v>
      </c>
      <c r="H13" s="4" t="s">
        <v>6</v>
      </c>
      <c r="I13" s="3">
        <f t="shared" si="0"/>
        <v>4</v>
      </c>
      <c r="J13" s="3" t="str">
        <f t="shared" si="1"/>
        <v>Categoría 1</v>
      </c>
      <c r="K13" s="5">
        <f>IFERROR(VLOOKUP(B13,'05_Dimensiones'!$A$2:$B$9,2,FALSE),"")</f>
        <v>0.1</v>
      </c>
      <c r="L13" s="5">
        <f t="shared" si="2"/>
        <v>0.13333333333333333</v>
      </c>
      <c r="M13" s="3" t="s">
        <v>89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1.4">
      <c r="A14" s="3">
        <v>13</v>
      </c>
      <c r="B14" s="3" t="s">
        <v>90</v>
      </c>
      <c r="C14" s="3" t="s">
        <v>91</v>
      </c>
      <c r="D14" s="3" t="s">
        <v>92</v>
      </c>
      <c r="E14" s="3" t="s">
        <v>93</v>
      </c>
      <c r="F14" s="3" t="s">
        <v>94</v>
      </c>
      <c r="G14" s="3" t="s">
        <v>95</v>
      </c>
      <c r="H14" s="4" t="s">
        <v>6</v>
      </c>
      <c r="I14" s="3">
        <f t="shared" si="0"/>
        <v>4</v>
      </c>
      <c r="J14" s="3" t="str">
        <f t="shared" si="1"/>
        <v>Categoría 1</v>
      </c>
      <c r="K14" s="5">
        <f>IFERROR(VLOOKUP(B14,'05_Dimensiones'!$A$2:$B$9,2,FALSE),"")</f>
        <v>0.1</v>
      </c>
      <c r="L14" s="5">
        <f t="shared" si="2"/>
        <v>0.13333333333333333</v>
      </c>
      <c r="M14" s="3" t="s">
        <v>96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41.4">
      <c r="A15" s="3">
        <v>14</v>
      </c>
      <c r="B15" s="3" t="s">
        <v>90</v>
      </c>
      <c r="C15" s="3" t="s">
        <v>97</v>
      </c>
      <c r="D15" s="3" t="s">
        <v>98</v>
      </c>
      <c r="E15" s="3" t="s">
        <v>99</v>
      </c>
      <c r="F15" s="3" t="s">
        <v>100</v>
      </c>
      <c r="G15" s="3" t="s">
        <v>101</v>
      </c>
      <c r="H15" s="4" t="s">
        <v>6</v>
      </c>
      <c r="I15" s="3">
        <f t="shared" si="0"/>
        <v>4</v>
      </c>
      <c r="J15" s="3" t="str">
        <f t="shared" si="1"/>
        <v>Categoría 1</v>
      </c>
      <c r="K15" s="5">
        <f>IFERROR(VLOOKUP(B15,'05_Dimensiones'!$A$2:$B$9,2,FALSE),"")</f>
        <v>0.1</v>
      </c>
      <c r="L15" s="5">
        <f t="shared" si="2"/>
        <v>0.13333333333333333</v>
      </c>
      <c r="M15" s="3" t="s">
        <v>102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1.4">
      <c r="A16" s="3">
        <v>15</v>
      </c>
      <c r="B16" s="3" t="s">
        <v>90</v>
      </c>
      <c r="C16" s="3" t="s">
        <v>103</v>
      </c>
      <c r="D16" s="3" t="s">
        <v>104</v>
      </c>
      <c r="E16" s="3" t="s">
        <v>105</v>
      </c>
      <c r="F16" s="3" t="s">
        <v>106</v>
      </c>
      <c r="G16" s="3" t="s">
        <v>107</v>
      </c>
      <c r="H16" s="4" t="s">
        <v>6</v>
      </c>
      <c r="I16" s="3">
        <f t="shared" si="0"/>
        <v>4</v>
      </c>
      <c r="J16" s="3" t="str">
        <f t="shared" si="1"/>
        <v>Categoría 1</v>
      </c>
      <c r="K16" s="5">
        <f>IFERROR(VLOOKUP(B16,'05_Dimensiones'!$A$2:$B$9,2,FALSE),"")</f>
        <v>0.1</v>
      </c>
      <c r="L16" s="5">
        <f t="shared" si="2"/>
        <v>0.13333333333333333</v>
      </c>
      <c r="M16" s="3" t="s">
        <v>108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41.4">
      <c r="A17" s="3">
        <v>16</v>
      </c>
      <c r="B17" s="3" t="s">
        <v>109</v>
      </c>
      <c r="C17" s="3" t="s">
        <v>110</v>
      </c>
      <c r="D17" s="3" t="s">
        <v>111</v>
      </c>
      <c r="E17" s="3" t="s">
        <v>112</v>
      </c>
      <c r="F17" s="3" t="s">
        <v>113</v>
      </c>
      <c r="G17" s="3" t="s">
        <v>114</v>
      </c>
      <c r="H17" s="4" t="s">
        <v>6</v>
      </c>
      <c r="I17" s="3">
        <f t="shared" si="0"/>
        <v>4</v>
      </c>
      <c r="J17" s="3" t="str">
        <f t="shared" si="1"/>
        <v>Categoría 1</v>
      </c>
      <c r="K17" s="5">
        <f>IFERROR(VLOOKUP(B17,'05_Dimensiones'!$A$2:$B$9,2,FALSE),"")</f>
        <v>0.1</v>
      </c>
      <c r="L17" s="5">
        <f t="shared" si="2"/>
        <v>0.13333333333333333</v>
      </c>
      <c r="M17" s="3" t="s">
        <v>115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41.4">
      <c r="A18" s="3">
        <v>17</v>
      </c>
      <c r="B18" s="3" t="s">
        <v>109</v>
      </c>
      <c r="C18" s="3" t="s">
        <v>116</v>
      </c>
      <c r="D18" s="3" t="s">
        <v>117</v>
      </c>
      <c r="E18" s="3" t="s">
        <v>118</v>
      </c>
      <c r="F18" s="3" t="s">
        <v>119</v>
      </c>
      <c r="G18" s="3" t="s">
        <v>120</v>
      </c>
      <c r="H18" s="4" t="s">
        <v>6</v>
      </c>
      <c r="I18" s="3">
        <f t="shared" si="0"/>
        <v>4</v>
      </c>
      <c r="J18" s="3" t="str">
        <f t="shared" si="1"/>
        <v>Categoría 1</v>
      </c>
      <c r="K18" s="5">
        <f>IFERROR(VLOOKUP(B18,'05_Dimensiones'!$A$2:$B$9,2,FALSE),"")</f>
        <v>0.1</v>
      </c>
      <c r="L18" s="5">
        <f t="shared" si="2"/>
        <v>0.13333333333333333</v>
      </c>
      <c r="M18" s="3" t="s">
        <v>121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41.4">
      <c r="A19" s="3">
        <v>18</v>
      </c>
      <c r="B19" s="3" t="s">
        <v>109</v>
      </c>
      <c r="C19" s="3" t="s">
        <v>122</v>
      </c>
      <c r="D19" s="3" t="s">
        <v>123</v>
      </c>
      <c r="E19" s="3" t="s">
        <v>124</v>
      </c>
      <c r="F19" s="3" t="s">
        <v>125</v>
      </c>
      <c r="G19" s="3" t="s">
        <v>126</v>
      </c>
      <c r="H19" s="4" t="s">
        <v>6</v>
      </c>
      <c r="I19" s="3">
        <f t="shared" si="0"/>
        <v>4</v>
      </c>
      <c r="J19" s="3" t="str">
        <f t="shared" si="1"/>
        <v>Categoría 1</v>
      </c>
      <c r="K19" s="5">
        <f>IFERROR(VLOOKUP(B19,'05_Dimensiones'!$A$2:$B$9,2,FALSE),"")</f>
        <v>0.1</v>
      </c>
      <c r="L19" s="5">
        <f t="shared" si="2"/>
        <v>0.13333333333333333</v>
      </c>
      <c r="M19" s="3" t="s">
        <v>127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41.4">
      <c r="A20" s="3">
        <v>19</v>
      </c>
      <c r="B20" s="3" t="s">
        <v>128</v>
      </c>
      <c r="C20" s="3" t="s">
        <v>129</v>
      </c>
      <c r="D20" s="3" t="s">
        <v>130</v>
      </c>
      <c r="E20" s="3" t="s">
        <v>131</v>
      </c>
      <c r="F20" s="3" t="s">
        <v>132</v>
      </c>
      <c r="G20" s="3" t="s">
        <v>133</v>
      </c>
      <c r="H20" s="4" t="s">
        <v>6</v>
      </c>
      <c r="I20" s="3">
        <f t="shared" si="0"/>
        <v>4</v>
      </c>
      <c r="J20" s="3" t="str">
        <f t="shared" si="1"/>
        <v>Categoría 1</v>
      </c>
      <c r="K20" s="5">
        <f>IFERROR(VLOOKUP(B20,'05_Dimensiones'!$A$2:$B$9,2,FALSE),"")</f>
        <v>0.1</v>
      </c>
      <c r="L20" s="5">
        <f t="shared" si="2"/>
        <v>0.13333333333333333</v>
      </c>
      <c r="M20" s="3" t="s">
        <v>134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1.4">
      <c r="A21" s="3">
        <v>20</v>
      </c>
      <c r="B21" s="3" t="s">
        <v>128</v>
      </c>
      <c r="C21" s="3" t="s">
        <v>135</v>
      </c>
      <c r="D21" s="3" t="s">
        <v>136</v>
      </c>
      <c r="E21" s="3" t="s">
        <v>137</v>
      </c>
      <c r="F21" s="3" t="s">
        <v>138</v>
      </c>
      <c r="G21" s="3" t="s">
        <v>139</v>
      </c>
      <c r="H21" s="4" t="s">
        <v>6</v>
      </c>
      <c r="I21" s="3">
        <f t="shared" si="0"/>
        <v>4</v>
      </c>
      <c r="J21" s="3" t="str">
        <f t="shared" si="1"/>
        <v>Categoría 1</v>
      </c>
      <c r="K21" s="5">
        <f>IFERROR(VLOOKUP(B21,'05_Dimensiones'!$A$2:$B$9,2,FALSE),"")</f>
        <v>0.1</v>
      </c>
      <c r="L21" s="5">
        <f t="shared" si="2"/>
        <v>0.13333333333333333</v>
      </c>
      <c r="M21" s="3" t="s">
        <v>140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41.4">
      <c r="A22" s="3">
        <v>21</v>
      </c>
      <c r="B22" s="3" t="s">
        <v>128</v>
      </c>
      <c r="C22" s="3" t="s">
        <v>141</v>
      </c>
      <c r="D22" s="3" t="s">
        <v>142</v>
      </c>
      <c r="E22" s="3" t="s">
        <v>143</v>
      </c>
      <c r="F22" s="3" t="s">
        <v>144</v>
      </c>
      <c r="G22" s="3" t="s">
        <v>145</v>
      </c>
      <c r="H22" s="4" t="s">
        <v>6</v>
      </c>
      <c r="I22" s="3">
        <f t="shared" si="0"/>
        <v>4</v>
      </c>
      <c r="J22" s="3" t="str">
        <f t="shared" si="1"/>
        <v>Categoría 1</v>
      </c>
      <c r="K22" s="5">
        <f>IFERROR(VLOOKUP(B22,'05_Dimensiones'!$A$2:$B$9,2,FALSE),"")</f>
        <v>0.1</v>
      </c>
      <c r="L22" s="5">
        <f t="shared" si="2"/>
        <v>0.13333333333333333</v>
      </c>
      <c r="M22" s="3" t="s">
        <v>35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7.6">
      <c r="A23" s="3">
        <v>22</v>
      </c>
      <c r="B23" s="3" t="s">
        <v>146</v>
      </c>
      <c r="C23" s="3" t="s">
        <v>147</v>
      </c>
      <c r="D23" s="3" t="s">
        <v>148</v>
      </c>
      <c r="E23" s="3" t="s">
        <v>149</v>
      </c>
      <c r="F23" s="3" t="s">
        <v>150</v>
      </c>
      <c r="G23" s="3" t="s">
        <v>151</v>
      </c>
      <c r="H23" s="4" t="s">
        <v>6</v>
      </c>
      <c r="I23" s="3">
        <f t="shared" si="0"/>
        <v>4</v>
      </c>
      <c r="J23" s="3" t="str">
        <f t="shared" si="1"/>
        <v>Categoría 1</v>
      </c>
      <c r="K23" s="5">
        <f>IFERROR(VLOOKUP(B23,'05_Dimensiones'!$A$2:$B$9,2,FALSE),"")</f>
        <v>0.05</v>
      </c>
      <c r="L23" s="5">
        <f t="shared" si="2"/>
        <v>6.6666666666666666E-2</v>
      </c>
      <c r="M23" s="3" t="s">
        <v>152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41.4">
      <c r="A24" s="3">
        <v>23</v>
      </c>
      <c r="B24" s="3" t="s">
        <v>146</v>
      </c>
      <c r="C24" s="3" t="s">
        <v>153</v>
      </c>
      <c r="D24" s="3" t="s">
        <v>154</v>
      </c>
      <c r="E24" s="3" t="s">
        <v>155</v>
      </c>
      <c r="F24" s="3" t="s">
        <v>156</v>
      </c>
      <c r="G24" s="3" t="s">
        <v>157</v>
      </c>
      <c r="H24" s="4" t="s">
        <v>6</v>
      </c>
      <c r="I24" s="3">
        <f t="shared" si="0"/>
        <v>4</v>
      </c>
      <c r="J24" s="3" t="str">
        <f t="shared" si="1"/>
        <v>Categoría 1</v>
      </c>
      <c r="K24" s="5">
        <f>IFERROR(VLOOKUP(B24,'05_Dimensiones'!$A$2:$B$9,2,FALSE),"")</f>
        <v>0.05</v>
      </c>
      <c r="L24" s="5">
        <f t="shared" si="2"/>
        <v>6.6666666666666666E-2</v>
      </c>
      <c r="M24" s="3" t="s">
        <v>158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41.4">
      <c r="A25" s="3">
        <v>24</v>
      </c>
      <c r="B25" s="3" t="s">
        <v>146</v>
      </c>
      <c r="C25" s="3" t="s">
        <v>159</v>
      </c>
      <c r="D25" s="3" t="s">
        <v>160</v>
      </c>
      <c r="E25" s="3" t="s">
        <v>161</v>
      </c>
      <c r="F25" s="3" t="s">
        <v>162</v>
      </c>
      <c r="G25" s="3" t="s">
        <v>163</v>
      </c>
      <c r="H25" s="4" t="s">
        <v>6</v>
      </c>
      <c r="I25" s="3">
        <f t="shared" si="0"/>
        <v>4</v>
      </c>
      <c r="J25" s="3" t="str">
        <f t="shared" si="1"/>
        <v>Categoría 1</v>
      </c>
      <c r="K25" s="5">
        <f>IFERROR(VLOOKUP(B25,'05_Dimensiones'!$A$2:$B$9,2,FALSE),"")</f>
        <v>0.05</v>
      </c>
      <c r="L25" s="5">
        <f t="shared" si="2"/>
        <v>6.6666666666666666E-2</v>
      </c>
      <c r="M25" s="3" t="s">
        <v>164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conditionalFormatting sqref="I2:I25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1">
    <dataValidation type="list" sqref="H2:H25" xr:uid="{00000000-0002-0000-0100-000000000000}">
      <formula1>"A,B,C,D"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>
      <selection activeCell="D9" sqref="D9:H11"/>
    </sheetView>
  </sheetViews>
  <sheetFormatPr defaultRowHeight="13.8"/>
  <cols>
    <col min="1" max="3" width="24" customWidth="1"/>
    <col min="4" max="8" width="18" customWidth="1"/>
  </cols>
  <sheetData>
    <row r="1" spans="1:26" ht="14.4">
      <c r="A1" s="15" t="s">
        <v>165</v>
      </c>
      <c r="B1" s="16"/>
      <c r="C1" s="16"/>
      <c r="D1" s="16"/>
      <c r="E1" s="16"/>
      <c r="F1" s="16"/>
      <c r="G1" s="16"/>
      <c r="H1" s="1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>
      <c r="A3" s="6" t="s">
        <v>166</v>
      </c>
      <c r="B3" s="7"/>
      <c r="C3" s="8"/>
      <c r="D3" s="12"/>
      <c r="E3" s="13"/>
      <c r="F3" s="13"/>
      <c r="G3" s="13"/>
      <c r="H3" s="1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>
      <c r="A4" s="6" t="s">
        <v>167</v>
      </c>
      <c r="B4" s="7"/>
      <c r="C4" s="8"/>
      <c r="D4" s="8"/>
      <c r="E4" s="8"/>
      <c r="F4" s="8"/>
      <c r="G4" s="8"/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>
      <c r="A5" s="6" t="s">
        <v>168</v>
      </c>
      <c r="B5" s="7"/>
      <c r="C5" s="8"/>
      <c r="D5" s="17"/>
      <c r="E5" s="13"/>
      <c r="F5" s="13"/>
      <c r="G5" s="13"/>
      <c r="H5" s="1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>
      <c r="A6" s="6" t="s">
        <v>170</v>
      </c>
      <c r="B6" s="7"/>
      <c r="C6" s="8"/>
      <c r="D6" s="18"/>
      <c r="E6" s="13"/>
      <c r="F6" s="13"/>
      <c r="G6" s="13"/>
      <c r="H6" s="1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>
      <c r="A7" s="6" t="s">
        <v>171</v>
      </c>
      <c r="B7" s="7"/>
      <c r="C7" s="8"/>
      <c r="D7" s="13"/>
      <c r="E7" s="13"/>
      <c r="F7" s="13"/>
      <c r="G7" s="13"/>
      <c r="H7" s="1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>
      <c r="A8" s="6" t="s">
        <v>172</v>
      </c>
      <c r="B8" s="8" t="str">
        <f>(COUNTIF('01_Cuestionario'!H2:H25,"A")+COUNTIF('01_Cuestionario'!H2:H25,"B")+COUNTIF('01_Cuestionario'!H2:H25,"C")+COUNTIF('01_Cuestionario'!H2:H25,"D"))&amp;" de 24"</f>
        <v>24 de 24</v>
      </c>
      <c r="C8" s="8"/>
      <c r="D8" s="8"/>
      <c r="E8" s="8"/>
      <c r="F8" s="8"/>
      <c r="G8" s="8"/>
      <c r="H8" s="8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>
      <c r="A9" s="6" t="s">
        <v>173</v>
      </c>
      <c r="B9" s="9">
        <f>IF((COUNTIF('01_Cuestionario'!H2:H25,"A")+COUNTIF('01_Cuestionario'!H2:H25,"B")+COUNTIF('01_Cuestionario'!H2:H25,"C")+COUNTIF('01_Cuestionario'!H2:H25,"D"))&lt;24,"Pendiente",SUM('01_Cuestionario'!L2:L25))</f>
        <v>4</v>
      </c>
      <c r="C9" s="8"/>
      <c r="D9" s="14"/>
      <c r="E9" s="13"/>
      <c r="F9" s="13"/>
      <c r="G9" s="13"/>
      <c r="H9" s="1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>
      <c r="A10" s="6" t="s">
        <v>174</v>
      </c>
      <c r="B10" s="8" t="str">
        <f>IF(B9="Pendiente","Pendiente",IF(B9&lt;=1.75,"Categoría 4",IF(B9&lt;=2.5,"Categoría 3",IF(B9&lt;=3.25,"Categoría 2","Categoría 1"))))</f>
        <v>Categoría 1</v>
      </c>
      <c r="C10" s="8"/>
      <c r="D10" s="13"/>
      <c r="E10" s="13"/>
      <c r="F10" s="13"/>
      <c r="G10" s="13"/>
      <c r="H10" s="1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>
      <c r="A11" s="8"/>
      <c r="B11" s="8"/>
      <c r="C11" s="8"/>
      <c r="D11" s="13"/>
      <c r="E11" s="13"/>
      <c r="F11" s="13"/>
      <c r="G11" s="13"/>
      <c r="H11" s="1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>
      <c r="A12" s="8"/>
      <c r="B12" s="8"/>
      <c r="C12" s="8"/>
      <c r="D12" s="8"/>
      <c r="E12" s="8"/>
      <c r="F12" s="8"/>
      <c r="G12" s="8"/>
      <c r="H12" s="8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>
      <c r="A13" s="10" t="s">
        <v>8</v>
      </c>
      <c r="B13" s="10" t="s">
        <v>175</v>
      </c>
      <c r="C13" s="10" t="s">
        <v>176</v>
      </c>
      <c r="D13" s="10" t="s">
        <v>177</v>
      </c>
      <c r="E13" s="10" t="s">
        <v>178</v>
      </c>
      <c r="F13" s="8"/>
      <c r="G13" s="8"/>
      <c r="H13" s="8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>
      <c r="A14" s="8" t="s">
        <v>17</v>
      </c>
      <c r="B14" s="20">
        <f>IFERROR(AVERAGEIF('01_Cuestionario'!$B$2:$B$25,A14,'01_Cuestionario'!$I$2:$I$25),"")</f>
        <v>4</v>
      </c>
      <c r="C14" s="21" t="str">
        <f t="shared" ref="C14:C21" si="0">IF(B14="","Pendiente",IF(B14&lt;=1.75,"Categoría 4",IF(B14&lt;=2.5,"Categoría 3",IF(B14&lt;=3.25,"Categoría 2","Categoría 1"))))</f>
        <v>Categoría 1</v>
      </c>
      <c r="D14" s="20">
        <f>VLOOKUP(A14,'05_Dimensiones'!$A$2:$B$9,2,FALSE)</f>
        <v>0.25</v>
      </c>
      <c r="E14" s="20">
        <f>IFERROR(SUMIFS('01_Cuestionario'!$L$2:$L$25,'01_Cuestionario'!$B$2:$B$25,A14),"")</f>
        <v>1</v>
      </c>
      <c r="F14" s="8"/>
      <c r="G14" s="8"/>
      <c r="H14" s="8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>
      <c r="A15" s="8" t="s">
        <v>36</v>
      </c>
      <c r="B15" s="20">
        <f>IFERROR(AVERAGEIF('01_Cuestionario'!$B$2:$B$25,A15,'01_Cuestionario'!$I$2:$I$25),"")</f>
        <v>4</v>
      </c>
      <c r="C15" s="21" t="str">
        <f t="shared" si="0"/>
        <v>Categoría 1</v>
      </c>
      <c r="D15" s="20">
        <f>VLOOKUP(A15,'05_Dimensiones'!$A$2:$B$9,2,FALSE)</f>
        <v>0.15</v>
      </c>
      <c r="E15" s="20">
        <f>IFERROR(SUMIFS('01_Cuestionario'!$L$2:$L$25,'01_Cuestionario'!$B$2:$B$25,A15),"")</f>
        <v>0.6</v>
      </c>
      <c r="F15" s="8"/>
      <c r="G15" s="8"/>
      <c r="H15" s="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>
      <c r="A16" s="8" t="s">
        <v>55</v>
      </c>
      <c r="B16" s="20">
        <f>IFERROR(AVERAGEIF('01_Cuestionario'!$B$2:$B$25,A16,'01_Cuestionario'!$I$2:$I$25),"")</f>
        <v>4</v>
      </c>
      <c r="C16" s="21" t="str">
        <f t="shared" si="0"/>
        <v>Categoría 1</v>
      </c>
      <c r="D16" s="20">
        <f>VLOOKUP(A16,'05_Dimensiones'!$A$2:$B$9,2,FALSE)</f>
        <v>0.15</v>
      </c>
      <c r="E16" s="20">
        <f>IFERROR(SUMIFS('01_Cuestionario'!$L$2:$L$25,'01_Cuestionario'!$B$2:$B$25,A16),"")</f>
        <v>0.6</v>
      </c>
      <c r="F16" s="8"/>
      <c r="G16" s="8"/>
      <c r="H16" s="8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>
      <c r="A17" s="8" t="s">
        <v>73</v>
      </c>
      <c r="B17" s="20">
        <f>IFERROR(AVERAGEIF('01_Cuestionario'!$B$2:$B$25,A17,'01_Cuestionario'!$I$2:$I$25),"")</f>
        <v>4</v>
      </c>
      <c r="C17" s="21" t="str">
        <f t="shared" si="0"/>
        <v>Categoría 1</v>
      </c>
      <c r="D17" s="20">
        <f>VLOOKUP(A17,'05_Dimensiones'!$A$2:$B$9,2,FALSE)</f>
        <v>0.1</v>
      </c>
      <c r="E17" s="20">
        <f>IFERROR(SUMIFS('01_Cuestionario'!$L$2:$L$25,'01_Cuestionario'!$B$2:$B$25,A17),"")</f>
        <v>0.4</v>
      </c>
      <c r="F17" s="8"/>
      <c r="G17" s="8"/>
      <c r="H17" s="8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>
      <c r="A18" s="8" t="s">
        <v>90</v>
      </c>
      <c r="B18" s="20">
        <f>IFERROR(AVERAGEIF('01_Cuestionario'!$B$2:$B$25,A18,'01_Cuestionario'!$I$2:$I$25),"")</f>
        <v>4</v>
      </c>
      <c r="C18" s="21" t="str">
        <f t="shared" si="0"/>
        <v>Categoría 1</v>
      </c>
      <c r="D18" s="20">
        <f>VLOOKUP(A18,'05_Dimensiones'!$A$2:$B$9,2,FALSE)</f>
        <v>0.1</v>
      </c>
      <c r="E18" s="20">
        <f>IFERROR(SUMIFS('01_Cuestionario'!$L$2:$L$25,'01_Cuestionario'!$B$2:$B$25,A18),"")</f>
        <v>0.4</v>
      </c>
      <c r="F18" s="8"/>
      <c r="G18" s="8"/>
      <c r="H18" s="8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>
      <c r="A19" s="8" t="s">
        <v>109</v>
      </c>
      <c r="B19" s="20">
        <f>IFERROR(AVERAGEIF('01_Cuestionario'!$B$2:$B$25,A19,'01_Cuestionario'!$I$2:$I$25),"")</f>
        <v>4</v>
      </c>
      <c r="C19" s="21" t="str">
        <f t="shared" si="0"/>
        <v>Categoría 1</v>
      </c>
      <c r="D19" s="20">
        <f>VLOOKUP(A19,'05_Dimensiones'!$A$2:$B$9,2,FALSE)</f>
        <v>0.1</v>
      </c>
      <c r="E19" s="20">
        <f>IFERROR(SUMIFS('01_Cuestionario'!$L$2:$L$25,'01_Cuestionario'!$B$2:$B$25,A19),"")</f>
        <v>0.4</v>
      </c>
      <c r="F19" s="8"/>
      <c r="G19" s="8"/>
      <c r="H19" s="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>
      <c r="A20" s="8" t="s">
        <v>128</v>
      </c>
      <c r="B20" s="20">
        <f>IFERROR(AVERAGEIF('01_Cuestionario'!$B$2:$B$25,A20,'01_Cuestionario'!$I$2:$I$25),"")</f>
        <v>4</v>
      </c>
      <c r="C20" s="21" t="str">
        <f t="shared" si="0"/>
        <v>Categoría 1</v>
      </c>
      <c r="D20" s="20">
        <f>VLOOKUP(A20,'05_Dimensiones'!$A$2:$B$9,2,FALSE)</f>
        <v>0.1</v>
      </c>
      <c r="E20" s="20">
        <f>IFERROR(SUMIFS('01_Cuestionario'!$L$2:$L$25,'01_Cuestionario'!$B$2:$B$25,A20),"")</f>
        <v>0.4</v>
      </c>
      <c r="F20" s="8"/>
      <c r="G20" s="8"/>
      <c r="H20" s="8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4">
      <c r="A21" s="8" t="s">
        <v>146</v>
      </c>
      <c r="B21" s="20">
        <f>IFERROR(AVERAGEIF('01_Cuestionario'!$B$2:$B$25,A21,'01_Cuestionario'!$I$2:$I$25),"")</f>
        <v>4</v>
      </c>
      <c r="C21" s="21" t="str">
        <f t="shared" si="0"/>
        <v>Categoría 1</v>
      </c>
      <c r="D21" s="20">
        <f>VLOOKUP(A21,'05_Dimensiones'!$A$2:$B$9,2,FALSE)</f>
        <v>0.05</v>
      </c>
      <c r="E21" s="20">
        <f>IFERROR(SUMIFS('01_Cuestionario'!$L$2:$L$25,'01_Cuestionario'!$B$2:$B$25,A21),"")</f>
        <v>0.2</v>
      </c>
      <c r="F21" s="8"/>
      <c r="G21" s="8"/>
      <c r="H21" s="8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4">
      <c r="A22" s="8"/>
      <c r="B22" s="8"/>
      <c r="C22" s="8"/>
      <c r="D22" s="8"/>
      <c r="E22" s="8"/>
      <c r="F22" s="8"/>
      <c r="G22" s="8"/>
      <c r="H22" s="8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4">
      <c r="A23" s="8"/>
      <c r="B23" s="8"/>
      <c r="C23" s="8"/>
      <c r="D23" s="8"/>
      <c r="E23" s="8"/>
      <c r="F23" s="8"/>
      <c r="G23" s="8"/>
      <c r="H23" s="8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4">
      <c r="A24" s="12" t="s">
        <v>179</v>
      </c>
      <c r="B24" s="13"/>
      <c r="C24" s="13"/>
      <c r="D24" s="13"/>
      <c r="E24" s="13"/>
      <c r="F24" s="13"/>
      <c r="G24" s="13"/>
      <c r="H24" s="1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4">
      <c r="A25" s="8"/>
      <c r="B25" s="8"/>
      <c r="C25" s="8"/>
      <c r="D25" s="8"/>
      <c r="E25" s="8"/>
      <c r="F25" s="8"/>
      <c r="G25" s="8"/>
      <c r="H25" s="8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4">
      <c r="A26" s="14" t="str">
        <f>IF($B$10="Pendiente","Faltan respuestas.","Resultado: "&amp;$B$10&amp;_xlfn._LONGTEXT(". Esta categoría se obtiene sin candados externos: cada respuesta ya incluye el nivel de formalización, cumplimiento y madurez correspondiente. El promedio ponderado favorece legal/fiscal, gobernanza y planeación para evitar que comunicación o alianzas el","even artificialmente la clasificación."))</f>
        <v>Resultado: Categoría 1. Esta categoría se obtiene sin candados externos: cada respuesta ya incluye el nivel de formalización, cumplimiento y madurez correspondiente. El promedio ponderado favorece legal/fiscal, gobernanza y planeación para evitar que comunicación o alianzas eleven artificialmente la clasificación.</v>
      </c>
      <c r="B26" s="13"/>
      <c r="C26" s="13"/>
      <c r="D26" s="13"/>
      <c r="E26" s="13"/>
      <c r="F26" s="13"/>
      <c r="G26" s="13"/>
      <c r="H26" s="1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4">
      <c r="A27" s="13"/>
      <c r="B27" s="13"/>
      <c r="C27" s="13"/>
      <c r="D27" s="13"/>
      <c r="E27" s="13"/>
      <c r="F27" s="13"/>
      <c r="G27" s="13"/>
      <c r="H27" s="1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4">
      <c r="A28" s="13"/>
      <c r="B28" s="13"/>
      <c r="C28" s="13"/>
      <c r="D28" s="13"/>
      <c r="E28" s="13"/>
      <c r="F28" s="13"/>
      <c r="G28" s="13"/>
      <c r="H28" s="1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4">
      <c r="A29" s="13"/>
      <c r="B29" s="13"/>
      <c r="C29" s="13"/>
      <c r="D29" s="13"/>
      <c r="E29" s="13"/>
      <c r="F29" s="13"/>
      <c r="G29" s="13"/>
      <c r="H29" s="1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7">
    <mergeCell ref="A24:H24"/>
    <mergeCell ref="A26:H29"/>
    <mergeCell ref="A1:H1"/>
    <mergeCell ref="D3:H3"/>
    <mergeCell ref="D5:H5"/>
    <mergeCell ref="D6:H7"/>
    <mergeCell ref="D9:H11"/>
  </mergeCells>
  <conditionalFormatting sqref="B10">
    <cfRule type="expression" dxfId="3" priority="1">
      <formula>$B$10="Categoría 4"</formula>
    </cfRule>
    <cfRule type="expression" dxfId="2" priority="2">
      <formula>$B$10="Categoría 3"</formula>
    </cfRule>
    <cfRule type="expression" dxfId="1" priority="3">
      <formula>$B$10="Categoría 2"</formula>
    </cfRule>
    <cfRule type="expression" dxfId="0" priority="4">
      <formula>$B$10="Categoría 1"</formula>
    </cfRule>
  </conditionalFormatting>
  <conditionalFormatting sqref="B14:B21">
    <cfRule type="colorScale" priority="5">
      <colorScale>
        <cfvo type="min"/>
        <cfvo type="percentile" val="50"/>
        <cfvo type="max"/>
        <color rgb="FFFEE2E2"/>
        <color rgb="FFFEF9C3"/>
        <color rgb="FFDCFCE7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topLeftCell="A5" workbookViewId="0">
      <selection activeCell="D14" sqref="D14"/>
    </sheetView>
  </sheetViews>
  <sheetFormatPr defaultRowHeight="13.8"/>
  <cols>
    <col min="1" max="5" width="24" customWidth="1"/>
  </cols>
  <sheetData>
    <row r="1" spans="1:26" ht="14.4">
      <c r="A1" s="15" t="s">
        <v>180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>
      <c r="A3" s="10" t="s">
        <v>0</v>
      </c>
      <c r="B3" s="10" t="s">
        <v>1</v>
      </c>
      <c r="C3" s="10" t="s">
        <v>181</v>
      </c>
      <c r="D3" s="10" t="s">
        <v>182</v>
      </c>
      <c r="E3" s="10" t="s">
        <v>183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1.4">
      <c r="A4" s="19" t="s">
        <v>3</v>
      </c>
      <c r="B4" s="19">
        <v>1</v>
      </c>
      <c r="C4" s="19">
        <v>4</v>
      </c>
      <c r="D4" s="19" t="s">
        <v>184</v>
      </c>
      <c r="E4" s="19" t="s">
        <v>185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1.4">
      <c r="A5" s="19" t="s">
        <v>4</v>
      </c>
      <c r="B5" s="19">
        <v>2</v>
      </c>
      <c r="C5" s="19">
        <v>3</v>
      </c>
      <c r="D5" s="19" t="s">
        <v>186</v>
      </c>
      <c r="E5" s="19" t="s">
        <v>187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1.4">
      <c r="A6" s="19" t="s">
        <v>5</v>
      </c>
      <c r="B6" s="19">
        <v>3</v>
      </c>
      <c r="C6" s="19">
        <v>2</v>
      </c>
      <c r="D6" s="19" t="s">
        <v>188</v>
      </c>
      <c r="E6" s="19" t="s">
        <v>189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5.2">
      <c r="A7" s="19" t="s">
        <v>6</v>
      </c>
      <c r="B7" s="19">
        <v>4</v>
      </c>
      <c r="C7" s="19">
        <v>1</v>
      </c>
      <c r="D7" s="19" t="s">
        <v>190</v>
      </c>
      <c r="E7" s="19" t="s">
        <v>191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>
      <c r="A8" s="8"/>
      <c r="B8" s="8"/>
      <c r="C8" s="8"/>
      <c r="D8" s="8"/>
      <c r="E8" s="8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>
      <c r="A9" s="8"/>
      <c r="B9" s="8"/>
      <c r="C9" s="8"/>
      <c r="D9" s="8"/>
      <c r="E9" s="8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>
      <c r="A10" s="10" t="s">
        <v>173</v>
      </c>
      <c r="B10" s="10" t="s">
        <v>174</v>
      </c>
      <c r="C10" s="10" t="s">
        <v>192</v>
      </c>
      <c r="D10" s="10" t="s">
        <v>169</v>
      </c>
      <c r="E10" s="8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>
      <c r="A11" s="19" t="s">
        <v>193</v>
      </c>
      <c r="B11" s="19">
        <v>4</v>
      </c>
      <c r="C11" s="19" t="s">
        <v>184</v>
      </c>
      <c r="D11" s="19" t="s">
        <v>194</v>
      </c>
      <c r="E11" s="8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6">
      <c r="A12" s="19" t="s">
        <v>195</v>
      </c>
      <c r="B12" s="19">
        <v>3</v>
      </c>
      <c r="C12" s="19" t="s">
        <v>186</v>
      </c>
      <c r="D12" s="19" t="s">
        <v>196</v>
      </c>
      <c r="E12" s="8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>
      <c r="A13" s="19" t="s">
        <v>197</v>
      </c>
      <c r="B13" s="19">
        <v>2</v>
      </c>
      <c r="C13" s="19" t="s">
        <v>188</v>
      </c>
      <c r="D13" s="19" t="s">
        <v>198</v>
      </c>
      <c r="E13" s="8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.6">
      <c r="A14" s="19" t="s">
        <v>199</v>
      </c>
      <c r="B14" s="19">
        <v>1</v>
      </c>
      <c r="C14" s="19" t="s">
        <v>190</v>
      </c>
      <c r="D14" s="19" t="s">
        <v>200</v>
      </c>
      <c r="E14" s="8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"/>
  <sheetViews>
    <sheetView topLeftCell="A3" workbookViewId="0">
      <selection activeCell="E4" sqref="E4"/>
    </sheetView>
  </sheetViews>
  <sheetFormatPr defaultRowHeight="13.8"/>
  <cols>
    <col min="1" max="5" width="24" customWidth="1"/>
  </cols>
  <sheetData>
    <row r="1" spans="1:26" ht="14.4">
      <c r="A1" s="10" t="s">
        <v>8</v>
      </c>
      <c r="B1" s="11" t="s">
        <v>177</v>
      </c>
      <c r="C1" s="10" t="s">
        <v>201</v>
      </c>
      <c r="D1" s="10" t="s">
        <v>202</v>
      </c>
      <c r="E1" s="10" t="s">
        <v>203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5.2">
      <c r="A2" s="19" t="s">
        <v>17</v>
      </c>
      <c r="B2" s="19">
        <v>0.25</v>
      </c>
      <c r="C2" s="19" t="s">
        <v>204</v>
      </c>
      <c r="D2" s="19">
        <v>3</v>
      </c>
      <c r="E2" s="19" t="s">
        <v>205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1.4">
      <c r="A3" s="19" t="s">
        <v>36</v>
      </c>
      <c r="B3" s="19">
        <v>0.15</v>
      </c>
      <c r="C3" s="19" t="s">
        <v>206</v>
      </c>
      <c r="D3" s="19">
        <v>3</v>
      </c>
      <c r="E3" s="19" t="s">
        <v>207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1.4">
      <c r="A4" s="19" t="s">
        <v>55</v>
      </c>
      <c r="B4" s="19">
        <v>0.15</v>
      </c>
      <c r="C4" s="19" t="s">
        <v>206</v>
      </c>
      <c r="D4" s="19">
        <v>3</v>
      </c>
      <c r="E4" s="19" t="s">
        <v>208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1.4">
      <c r="A5" s="19" t="s">
        <v>73</v>
      </c>
      <c r="B5" s="19">
        <v>0.1</v>
      </c>
      <c r="C5" s="19" t="s">
        <v>209</v>
      </c>
      <c r="D5" s="19">
        <v>3</v>
      </c>
      <c r="E5" s="19" t="s">
        <v>210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1.4">
      <c r="A6" s="19" t="s">
        <v>90</v>
      </c>
      <c r="B6" s="19">
        <v>0.1</v>
      </c>
      <c r="C6" s="19" t="s">
        <v>209</v>
      </c>
      <c r="D6" s="19">
        <v>3</v>
      </c>
      <c r="E6" s="19" t="s">
        <v>211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5.2">
      <c r="A7" s="19" t="s">
        <v>109</v>
      </c>
      <c r="B7" s="19">
        <v>0.1</v>
      </c>
      <c r="C7" s="19" t="s">
        <v>209</v>
      </c>
      <c r="D7" s="19">
        <v>3</v>
      </c>
      <c r="E7" s="19" t="s">
        <v>212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1.4">
      <c r="A8" s="19" t="s">
        <v>128</v>
      </c>
      <c r="B8" s="19">
        <v>0.1</v>
      </c>
      <c r="C8" s="19" t="s">
        <v>209</v>
      </c>
      <c r="D8" s="19">
        <v>3</v>
      </c>
      <c r="E8" s="19" t="s">
        <v>213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5.2">
      <c r="A9" s="19" t="s">
        <v>146</v>
      </c>
      <c r="B9" s="19">
        <v>0.05</v>
      </c>
      <c r="C9" s="19" t="s">
        <v>214</v>
      </c>
      <c r="D9" s="19">
        <v>3</v>
      </c>
      <c r="E9" s="19" t="s">
        <v>215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01_Cuestionario</vt:lpstr>
      <vt:lpstr>02_Resultados</vt:lpstr>
      <vt:lpstr>03_Escalas</vt:lpstr>
      <vt:lpstr>05_Dimensiones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Rodriguez</dc:creator>
  <cp:lastModifiedBy>Alejandro Rodriguez</cp:lastModifiedBy>
  <dcterms:created xsi:type="dcterms:W3CDTF">2026-07-03T00:15:54Z</dcterms:created>
  <dcterms:modified xsi:type="dcterms:W3CDTF">2026-07-06T02:26:37Z</dcterms:modified>
</cp:coreProperties>
</file>